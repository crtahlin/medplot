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5" yWindow="45" windowWidth="21000" windowHeight="8445"/>
  </bookViews>
  <sheets>
    <sheet name="DATA" sheetId="1" r:id="rId1"/>
    <sheet name="PARAMETERS" sheetId="2" r:id="rId2"/>
    <sheet name="SETTINGS" sheetId="3" r:id="rId3"/>
    <sheet name="ERRORS" sheetId="4" r:id="rId4"/>
  </sheets>
  <functionGroups builtInGroupCount="17"/>
  <definedNames>
    <definedName name="executablesDir">SETTINGS!$B$3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3" l="1"/>
  <c r="C2" i="3" s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<sst xmlns="http://schemas.openxmlformats.org/spreadsheetml/2006/main" count="65" uniqueCount="47">
  <si>
    <t>Patient</t>
  </si>
  <si>
    <t>Date</t>
  </si>
  <si>
    <t>Crt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</si>
  <si>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</si>
  <si>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</si>
  <si>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</si>
  <si>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</si>
  <si>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</si>
  <si>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</si>
  <si>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</si>
  <si>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</si>
  <si>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</si>
  <si>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</si>
  <si>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</si>
  <si>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</si>
  <si>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</si>
  <si>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</si>
  <si>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</si>
  <si>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</si>
  <si>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</si>
  <si>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</si>
  <si>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</si>
  <si>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</si>
  <si>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</si>
  <si>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</si>
  <si>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</si>
  <si>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</si>
  <si>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R Code</t>
  </si>
  <si>
    <t>Helper functions</t>
  </si>
  <si>
    <t>Working folder containing R scripts (e.g. C:\R\scripts):</t>
  </si>
  <si>
    <t xml:space="preserve"> </t>
  </si>
  <si>
    <t>C:\Documents and Settings\IE User\My Documents\Dropbox\PaperFigureViruses\scripts\shinyapp</t>
  </si>
  <si>
    <t>Nina</t>
  </si>
  <si>
    <t>Folder containing R executable files (e.g. C:\Program Files\R\bin)</t>
  </si>
  <si>
    <t>C:\Program Files\R\R-2.15.2\bin</t>
  </si>
  <si>
    <t>Glavobol</t>
  </si>
  <si>
    <t>Polde</t>
  </si>
  <si>
    <t>France</t>
  </si>
  <si>
    <t>Miki</t>
  </si>
  <si>
    <t>Janez</t>
  </si>
  <si>
    <t>Ana</t>
  </si>
  <si>
    <t>Žižek</t>
  </si>
  <si>
    <t>Migrena</t>
  </si>
  <si>
    <t>Fortunat</t>
  </si>
  <si>
    <t>Bolečina</t>
  </si>
  <si>
    <t>Farlililili</t>
  </si>
  <si>
    <t>Kljuvanje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</si>
</sst>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0" fillId="3" borderId="0" xfId="0" applyFill="1" applyProtection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3" t="s">
        <v>35</v>
      </c>
      <c r="D1" s="13" t="s">
        <v>42</v>
      </c>
      <c r="E1" s="13" t="s">
        <v>44</v>
      </c>
      <c r="F1" s="13" t="s">
        <v>46</v>
      </c>
      <c r="G1" s="13" t="s">
        <v>14</v>
      </c>
      <c r="H1" s="13" t="s">
        <v>15</v>
      </c>
      <c r="I1" s="13" t="s">
        <v>16</v>
      </c>
      <c r="J1" s="13" t="s">
        <v>17</v>
      </c>
      <c r="K1" s="13" t="s">
        <v>18</v>
      </c>
      <c r="L1" s="13" t="s">
        <v>19</v>
      </c>
      <c r="M1" s="13" t="s">
        <v>20</v>
      </c>
      <c r="N1" s="13" t="s">
        <v>21</v>
      </c>
      <c r="O1" s="13" t="s">
        <v>22</v>
      </c>
      <c r="P1" s="13" t="s">
        <v>23</v>
      </c>
      <c r="Q1" s="13" t="s">
        <v>24</v>
      </c>
      <c r="R1" s="5"/>
      <c r="S1" s="5"/>
      <c r="T1" s="5"/>
      <c r="U1" s="5"/>
      <c r="V1" s="5"/>
    </row>
    <row r="2" spans="1:22" x14ac:dyDescent="0.25">
      <c r="A2" s="4" t="s">
        <v>2</v>
      </c>
      <c r="B2" s="4" t="s">
        <v>3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2</v>
      </c>
      <c r="B3" s="4" t="s">
        <v>4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2</v>
      </c>
      <c r="B4" s="4" t="s">
        <v>5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2</v>
      </c>
      <c r="B5" s="4" t="s">
        <v>6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7</v>
      </c>
      <c r="B6" s="4" t="s">
        <v>8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7</v>
      </c>
      <c r="B7" s="4" t="s">
        <v>9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7</v>
      </c>
      <c r="B8" s="4" t="s">
        <v>10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7</v>
      </c>
      <c r="B9" s="4" t="s">
        <v>11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7</v>
      </c>
      <c r="B10" s="4" t="s">
        <v>12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32</v>
      </c>
      <c r="B11" s="4" t="s">
        <v>6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36</v>
      </c>
      <c r="B12" s="4" t="s">
        <v>4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36</v>
      </c>
      <c r="B13" s="4" t="s">
        <v>5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37</v>
      </c>
      <c r="B14" s="4" t="s">
        <v>4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38</v>
      </c>
      <c r="B15" s="4" t="s">
        <v>5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39</v>
      </c>
      <c r="B16" s="4" t="s">
        <v>4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40</v>
      </c>
      <c r="B17" s="4" t="s">
        <v>5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41</v>
      </c>
      <c r="B18" s="4" t="s">
        <v>5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43</v>
      </c>
      <c r="B19" s="4" t="s">
        <v>5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45</v>
      </c>
      <c r="B20" s="4" t="s">
        <v>5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:A21"/>
    </sheetView>
  </sheetViews>
  <sheetFormatPr defaultRowHeight="15" x14ac:dyDescent="0.25"/>
  <cols>
    <col min="1" max="1" width="15.140625" style="3" customWidth="1"/>
    <col min="2" max="16384" width="9.140625" style="3"/>
  </cols>
  <sheetData>
    <row r="1" spans="1:1" x14ac:dyDescent="0.25">
      <c r="A1" s="2" t="s">
        <v>13</v>
      </c>
    </row>
    <row r="2" spans="1:1" x14ac:dyDescent="0.25">
      <c r="A2" s="12" t="str">
        <f>DATA!C1</f>
        <v>Glavobol</v>
      </c>
    </row>
    <row r="3" spans="1:1" x14ac:dyDescent="0.25">
      <c r="A3" s="12" t="str">
        <f>DATA!D1</f>
        <v>Migrena</v>
      </c>
    </row>
    <row r="4" spans="1:1" x14ac:dyDescent="0.25">
      <c r="A4" s="12" t="str">
        <f>DATA!E1</f>
        <v>Bolečina</v>
      </c>
    </row>
    <row r="5" spans="1:1" x14ac:dyDescent="0.25">
      <c r="A5" s="12" t="str">
        <f>DATA!F1</f>
        <v>Kljuvanje</v>
      </c>
    </row>
    <row r="6" spans="1:1" x14ac:dyDescent="0.25">
      <c r="A6" s="12" t="str">
        <f>DATA!G1</f>
        <v>Simptom5</v>
      </c>
    </row>
    <row r="7" spans="1:1" x14ac:dyDescent="0.25">
      <c r="A7" s="12" t="str">
        <f>DATA!H1</f>
        <v>Simptom6</v>
      </c>
    </row>
    <row r="8" spans="1:1" x14ac:dyDescent="0.25">
      <c r="A8" s="12" t="str">
        <f>DATA!I1</f>
        <v>Simptom7</v>
      </c>
    </row>
    <row r="9" spans="1:1" x14ac:dyDescent="0.25">
      <c r="A9" s="12" t="str">
        <f>DATA!J1</f>
        <v>Simptom8</v>
      </c>
    </row>
    <row r="10" spans="1:1" x14ac:dyDescent="0.25">
      <c r="A10" s="12" t="str">
        <f>DATA!K1</f>
        <v>Simptom9</v>
      </c>
    </row>
    <row r="11" spans="1:1" x14ac:dyDescent="0.25">
      <c r="A11" s="12" t="str">
        <f>DATA!L1</f>
        <v>Simptom10</v>
      </c>
    </row>
    <row r="12" spans="1:1" x14ac:dyDescent="0.25">
      <c r="A12" s="12" t="str">
        <f>DATA!M1</f>
        <v>Simptom11</v>
      </c>
    </row>
    <row r="13" spans="1:1" x14ac:dyDescent="0.25">
      <c r="A13" s="12" t="str">
        <f>DATA!N1</f>
        <v>Simptom12</v>
      </c>
    </row>
    <row r="14" spans="1:1" x14ac:dyDescent="0.25">
      <c r="A14" s="12" t="str">
        <f>DATA!O1</f>
        <v>Simptom13</v>
      </c>
    </row>
    <row r="15" spans="1:1" x14ac:dyDescent="0.25">
      <c r="A15" s="12" t="str">
        <f>DATA!P1</f>
        <v>Simptom14</v>
      </c>
    </row>
    <row r="16" spans="1:1" x14ac:dyDescent="0.25">
      <c r="A16" s="12" t="str">
        <f>DATA!Q1</f>
        <v>Simptom15</v>
      </c>
    </row>
    <row r="17" spans="1:1" x14ac:dyDescent="0.25">
      <c r="A17" s="12">
        <f>DATA!R1</f>
        <v>0</v>
      </c>
    </row>
    <row r="18" spans="1:1" x14ac:dyDescent="0.25">
      <c r="A18" s="12">
        <f>DATA!S1</f>
        <v>0</v>
      </c>
    </row>
    <row r="19" spans="1:1" x14ac:dyDescent="0.25">
      <c r="A19" s="12">
        <f>DATA!T1</f>
        <v>0</v>
      </c>
    </row>
    <row r="20" spans="1:1" x14ac:dyDescent="0.25">
      <c r="A20" s="12">
        <f>DATA!U1</f>
        <v>0</v>
      </c>
    </row>
    <row r="21" spans="1:1" x14ac:dyDescent="0.25">
      <c r="A21" s="12">
        <f>DATA!V1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61.42578125" customWidth="1"/>
    <col min="2" max="2" width="38.85546875" customWidth="1"/>
    <col min="3" max="3" width="89.85546875" customWidth="1"/>
    <col min="4" max="4" width="26.140625" customWidth="1"/>
  </cols>
  <sheetData>
    <row r="1" spans="1:5" x14ac:dyDescent="0.25">
      <c r="A1" s="7" t="s">
        <v>25</v>
      </c>
      <c r="B1" s="8" t="s">
        <v>26</v>
      </c>
      <c r="C1" s="8" t="s">
        <v>27</v>
      </c>
      <c r="D1" s="9" t="s">
        <v>28</v>
      </c>
      <c r="E1" s="8"/>
    </row>
    <row r="2" spans="1:5" x14ac:dyDescent="0.25">
      <c r="A2" s="10" t="s">
        <v>29</v>
      </c>
      <c r="B2" s="1" t="s">
        <v>31</v>
      </c>
      <c r="C2" s="14" t="str">
        <f>CONCATENATE("setwd(","""",D2,"""",")")</f>
        <v>setwd("C:/Documents and Settings/IE User/My Documents/Dropbox/PaperFigureViruses/scripts/shinyapp")</v>
      </c>
      <c r="D2" s="11" t="str">
        <f>SUBSTITUTE(workingDir,"\","/")</f>
        <v>C:/Documents and Settings/IE User/My Documents/Dropbox/PaperFigureViruses/scripts/shinyapp</v>
      </c>
      <c r="E2" t="s">
        <v>30</v>
      </c>
    </row>
    <row r="3" spans="1:5" x14ac:dyDescent="0.25">
      <c r="A3" t="s">
        <v>33</v>
      </c>
      <c r="B3" s="1" t="s">
        <v>34</v>
      </c>
      <c r="C3" s="15"/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3</vt:i4>
      </vt:variant>
    </vt:vector>
  </HeadingPairs>
  <TitlesOfParts>
    <vt:vector size="7" baseType="lpstr">
      <vt:lpstr>DATA</vt:lpstr>
      <vt:lpstr>PARAMETERS</vt:lpstr>
      <vt:lpstr>SETTINGS</vt:lpstr>
      <vt:lpstr>ERRORS</vt:lpstr>
      <vt:lpstr>executablesDir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2013-04-13T17:47:04Z</dcterms:modified>
</cp:coreProperties>
</file>